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oding\new-qdc\templates\excel\"/>
    </mc:Choice>
  </mc:AlternateContent>
  <xr:revisionPtr revIDLastSave="0" documentId="13_ncr:1_{E7357F3D-4B58-4A5B-9A39-B07A5B7C7B60}" xr6:coauthVersionLast="47" xr6:coauthVersionMax="47" xr10:uidLastSave="{00000000-0000-0000-0000-000000000000}"/>
  <bookViews>
    <workbookView xWindow="-120" yWindow="-120" windowWidth="29040" windowHeight="15720" xr2:uid="{BF0D97B5-6E11-4905-B82B-3ABC666A41A3}"/>
  </bookViews>
  <sheets>
    <sheet name="F-Cost" sheetId="1" r:id="rId1"/>
  </sheets>
  <definedNames>
    <definedName name="_xlnm.Print_Area" localSheetId="0">'F-Cost'!$A$1:$R$39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8" i="1" l="1"/>
  <c r="P38" i="1"/>
  <c r="O38" i="1"/>
  <c r="O31" i="1"/>
  <c r="P29" i="1" s="1"/>
  <c r="P24" i="1"/>
  <c r="M24" i="1"/>
  <c r="J24" i="1"/>
  <c r="H24" i="1"/>
  <c r="F24" i="1"/>
  <c r="E24" i="1"/>
  <c r="C24" i="1"/>
  <c r="R23" i="1"/>
  <c r="R24" i="1" s="1"/>
  <c r="P21" i="1"/>
  <c r="M21" i="1"/>
  <c r="J21" i="1"/>
  <c r="H21" i="1"/>
  <c r="F21" i="1"/>
  <c r="E21" i="1"/>
  <c r="C21" i="1"/>
  <c r="R20" i="1"/>
  <c r="R21" i="1" s="1"/>
  <c r="R19" i="1"/>
  <c r="R17" i="1"/>
  <c r="P17" i="1"/>
  <c r="N8" i="1" s="1"/>
  <c r="M17" i="1"/>
  <c r="J17" i="1"/>
  <c r="H17" i="1"/>
  <c r="F17" i="1"/>
  <c r="E17" i="1"/>
  <c r="R16" i="1"/>
  <c r="P16" i="1"/>
  <c r="M16" i="1"/>
  <c r="J16" i="1"/>
  <c r="H16" i="1"/>
  <c r="F16" i="1"/>
  <c r="E16" i="1"/>
  <c r="R15" i="1"/>
  <c r="R14" i="1"/>
  <c r="R13" i="1"/>
  <c r="E8" i="1"/>
  <c r="B8" i="1"/>
  <c r="P30" i="1" l="1"/>
  <c r="P28" i="1"/>
  <c r="P31" i="1" s="1"/>
</calcChain>
</file>

<file path=xl/sharedStrings.xml><?xml version="1.0" encoding="utf-8"?>
<sst xmlns="http://schemas.openxmlformats.org/spreadsheetml/2006/main" count="43" uniqueCount="39">
  <si>
    <t>F-COST PERFORMANCE REPORT</t>
  </si>
  <si>
    <t>Product</t>
  </si>
  <si>
    <t>: LCD</t>
  </si>
  <si>
    <t>REPORTING MONTH</t>
  </si>
  <si>
    <t>Vendor</t>
  </si>
  <si>
    <t>: LOCAL</t>
  </si>
  <si>
    <t>TOTAL SALES (2025LH)</t>
  </si>
  <si>
    <t>TOTAL F-COST (2025LH)</t>
  </si>
  <si>
    <t>F-COST (MAR-26)</t>
  </si>
  <si>
    <t>TARGET ACHIEVEMENT (MAR-26)</t>
  </si>
  <si>
    <t>A. Monthly F-Cost.</t>
  </si>
  <si>
    <t>Amount &lt; Rp. K&gt;</t>
  </si>
  <si>
    <t>2025FH</t>
  </si>
  <si>
    <t>2025LH</t>
  </si>
  <si>
    <t>Sales Amount</t>
  </si>
  <si>
    <t>F-Cost Amount</t>
  </si>
  <si>
    <t>Target F-Cost</t>
  </si>
  <si>
    <t>Ratio vs Sales</t>
  </si>
  <si>
    <t>Achievement</t>
  </si>
  <si>
    <t>Sales Qty</t>
  </si>
  <si>
    <t>F-Cost Qty</t>
  </si>
  <si>
    <t>Ratio %</t>
  </si>
  <si>
    <t>LY F-Cost</t>
  </si>
  <si>
    <t>Ratio vs LY F-Cost</t>
  </si>
  <si>
    <t>B. F-Cost Trend. (2025LH)</t>
  </si>
  <si>
    <t>C. Detail F-Cost &amp; Part Contribution (2025LH)</t>
  </si>
  <si>
    <t>Items</t>
  </si>
  <si>
    <t>Amount</t>
  </si>
  <si>
    <t>Ratio</t>
  </si>
  <si>
    <t>Part</t>
  </si>
  <si>
    <t>Labor</t>
  </si>
  <si>
    <t>Trip</t>
  </si>
  <si>
    <t>Total</t>
  </si>
  <si>
    <t>Qty</t>
  </si>
  <si>
    <t>Panel</t>
  </si>
  <si>
    <t>Main Unit</t>
  </si>
  <si>
    <t>Power Unit</t>
  </si>
  <si>
    <t>Other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</si>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</sst>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_-* #,##0.00_-;\-* #,##0.00_-;_-* &quot;-&quot;??_-;_-@_-"/>
    <numFmt numFmtId="166" formatCode="_-* #,##0_-;\-* #,##0_-;_-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Tahoma"/>
      <family val="2"/>
    </font>
    <font>
      <b/>
      <sz val="1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indexed="9"/>
      <name val="Tahoma"/>
      <family val="2"/>
    </font>
    <font>
      <b/>
      <sz val="11"/>
      <color theme="1" tint="0.249977111117893"/>
      <name val="Calibri"/>
      <family val="2"/>
      <scheme val="minor"/>
    </font>
    <font>
      <sz val="9"/>
      <color theme="1" tint="0.249977111117893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sz val="10"/>
      <color theme="0" tint="-0.499984740745262"/>
      <name val="Tahoma"/>
      <family val="2"/>
    </font>
    <font>
      <b/>
      <sz val="16"/>
      <color theme="1" tint="0.249977111117893"/>
      <name val="Calibri"/>
      <family val="2"/>
      <scheme val="minor"/>
    </font>
    <font>
      <b/>
      <sz val="9"/>
      <color theme="0"/>
      <name val="Calibri"/>
      <family val="2"/>
      <scheme val="minor"/>
    </font>
    <font>
      <i/>
      <sz val="9"/>
      <color theme="1" tint="0.249977111117893"/>
      <name val="Calibri"/>
      <family val="2"/>
      <scheme val="minor"/>
    </font>
    <font>
      <b/>
      <i/>
      <sz val="9"/>
      <color theme="1" tint="0.249977111117893"/>
      <name val="Calibri"/>
      <family val="2"/>
      <scheme val="minor"/>
    </font>
    <font>
      <b/>
      <sz val="9"/>
      <color theme="1" tint="0.249977111117893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Tahoma"/>
      <family val="2"/>
    </font>
    <font>
      <b/>
      <sz val="10"/>
      <color indexed="8"/>
      <name val="Tahoma"/>
      <family val="2"/>
    </font>
    <font>
      <sz val="10"/>
      <color theme="1" tint="0.249977111117893"/>
      <name val="Tahoma"/>
      <family val="2"/>
    </font>
    <font>
      <i/>
      <sz val="12"/>
      <color indexed="8"/>
      <name val="Tahoma"/>
      <family val="2"/>
    </font>
    <font>
      <i/>
      <sz val="10"/>
      <color indexed="8"/>
      <name val="Tahoma"/>
      <family val="2"/>
    </font>
    <font>
      <sz val="10"/>
      <name val="Tahoma"/>
      <family val="2"/>
    </font>
    <font>
      <sz val="10"/>
      <color indexed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F5F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ck">
        <color theme="9" tint="-0.24994659260841701"/>
      </left>
      <right/>
      <top/>
      <bottom/>
      <diagonal/>
    </border>
    <border>
      <left style="thick">
        <color theme="8" tint="-0.24994659260841701"/>
      </left>
      <right/>
      <top/>
      <bottom/>
      <diagonal/>
    </border>
    <border>
      <left style="thick">
        <color rgb="FF0070C0"/>
      </left>
      <right/>
      <top/>
      <bottom/>
      <diagonal/>
    </border>
    <border>
      <left style="thick">
        <color rgb="FFFF0000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0" fillId="0" borderId="0" applyFont="0" applyFill="0" applyBorder="0" applyAlignment="0" applyProtection="0"/>
  </cellStyleXfs>
  <cellXfs count="136">
    <xf numFmtId="0" fontId="0" fillId="0" borderId="0" xfId="0"/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top"/>
    </xf>
    <xf numFmtId="0" fontId="0" fillId="2" borderId="0" xfId="0" applyFill="1"/>
    <xf numFmtId="0" fontId="3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17" fontId="7" fillId="2" borderId="0" xfId="0" applyNumberFormat="1" applyFont="1" applyFill="1"/>
    <xf numFmtId="17" fontId="8" fillId="2" borderId="0" xfId="0" applyNumberFormat="1" applyFont="1" applyFill="1"/>
    <xf numFmtId="0" fontId="9" fillId="3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center" vertical="center"/>
    </xf>
    <xf numFmtId="17" fontId="15" fillId="2" borderId="7" xfId="0" applyNumberFormat="1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3" fontId="18" fillId="0" borderId="5" xfId="0" applyNumberFormat="1" applyFont="1" applyBorder="1" applyAlignment="1">
      <alignment horizontal="right" vertical="center"/>
    </xf>
    <xf numFmtId="3" fontId="11" fillId="0" borderId="8" xfId="0" applyNumberFormat="1" applyFont="1" applyBorder="1" applyAlignment="1">
      <alignment horizontal="right" vertical="center"/>
    </xf>
    <xf numFmtId="3" fontId="11" fillId="0" borderId="6" xfId="0" applyNumberFormat="1" applyFont="1" applyBorder="1" applyAlignment="1">
      <alignment vertical="center"/>
    </xf>
    <xf numFmtId="3" fontId="18" fillId="5" borderId="5" xfId="0" applyNumberFormat="1" applyFont="1" applyFill="1" applyBorder="1" applyAlignment="1">
      <alignment horizontal="right" vertical="center"/>
    </xf>
    <xf numFmtId="3" fontId="11" fillId="5" borderId="8" xfId="0" applyNumberFormat="1" applyFont="1" applyFill="1" applyBorder="1" applyAlignment="1">
      <alignment horizontal="right" vertical="center"/>
    </xf>
    <xf numFmtId="3" fontId="11" fillId="5" borderId="6" xfId="0" applyNumberFormat="1" applyFont="1" applyFill="1" applyBorder="1" applyAlignment="1">
      <alignment vertical="center"/>
    </xf>
    <xf numFmtId="9" fontId="11" fillId="0" borderId="0" xfId="3" applyFont="1" applyFill="1" applyBorder="1" applyAlignment="1">
      <alignment horizontal="center" vertical="center"/>
    </xf>
    <xf numFmtId="10" fontId="11" fillId="5" borderId="8" xfId="2" applyNumberFormat="1" applyFont="1" applyFill="1" applyBorder="1" applyAlignment="1">
      <alignment horizontal="right" vertical="center"/>
    </xf>
    <xf numFmtId="10" fontId="11" fillId="5" borderId="6" xfId="2" applyNumberFormat="1" applyFont="1" applyFill="1" applyBorder="1" applyAlignment="1">
      <alignment vertical="center"/>
    </xf>
    <xf numFmtId="164" fontId="11" fillId="0" borderId="8" xfId="3" applyNumberFormat="1" applyFont="1" applyFill="1" applyBorder="1" applyAlignment="1">
      <alignment horizontal="right" vertical="center"/>
    </xf>
    <xf numFmtId="9" fontId="11" fillId="0" borderId="8" xfId="3" applyFont="1" applyFill="1" applyBorder="1" applyAlignment="1">
      <alignment horizontal="right" vertical="center"/>
    </xf>
    <xf numFmtId="164" fontId="11" fillId="0" borderId="6" xfId="3" applyNumberFormat="1" applyFont="1" applyFill="1" applyBorder="1" applyAlignment="1">
      <alignment vertical="center"/>
    </xf>
    <xf numFmtId="3" fontId="18" fillId="0" borderId="8" xfId="0" applyNumberFormat="1" applyFont="1" applyBorder="1" applyAlignment="1">
      <alignment horizontal="right" vertical="center"/>
    </xf>
    <xf numFmtId="164" fontId="11" fillId="0" borderId="9" xfId="3" applyNumberFormat="1" applyFont="1" applyFill="1" applyBorder="1" applyAlignment="1">
      <alignment horizontal="right" vertical="center"/>
    </xf>
    <xf numFmtId="166" fontId="11" fillId="5" borderId="8" xfId="1" applyNumberFormat="1" applyFont="1" applyFill="1" applyBorder="1" applyAlignment="1">
      <alignment horizontal="right" vertical="center"/>
    </xf>
    <xf numFmtId="166" fontId="11" fillId="5" borderId="8" xfId="1" applyNumberFormat="1" applyFont="1" applyFill="1" applyBorder="1" applyAlignment="1">
      <alignment horizontal="center" vertical="center"/>
    </xf>
    <xf numFmtId="166" fontId="11" fillId="5" borderId="6" xfId="1" applyNumberFormat="1" applyFont="1" applyFill="1" applyBorder="1" applyAlignment="1">
      <alignment vertical="center"/>
    </xf>
    <xf numFmtId="166" fontId="11" fillId="0" borderId="8" xfId="1" applyNumberFormat="1" applyFont="1" applyFill="1" applyBorder="1" applyAlignment="1">
      <alignment horizontal="right" vertical="center"/>
    </xf>
    <xf numFmtId="166" fontId="11" fillId="0" borderId="6" xfId="1" applyNumberFormat="1" applyFont="1" applyFill="1" applyBorder="1" applyAlignment="1">
      <alignment vertical="center"/>
    </xf>
    <xf numFmtId="164" fontId="11" fillId="5" borderId="8" xfId="3" applyNumberFormat="1" applyFont="1" applyFill="1" applyBorder="1" applyAlignment="1">
      <alignment horizontal="right" vertical="center"/>
    </xf>
    <xf numFmtId="164" fontId="11" fillId="5" borderId="6" xfId="3" applyNumberFormat="1" applyFont="1" applyFill="1" applyBorder="1" applyAlignment="1">
      <alignment vertical="center"/>
    </xf>
    <xf numFmtId="3" fontId="18" fillId="0" borderId="8" xfId="0" applyNumberFormat="1" applyFont="1" applyBorder="1" applyAlignment="1">
      <alignment horizontal="left" vertical="center"/>
    </xf>
    <xf numFmtId="164" fontId="11" fillId="0" borderId="0" xfId="3" applyNumberFormat="1" applyFont="1" applyFill="1" applyBorder="1" applyAlignment="1">
      <alignment horizontal="right" vertical="center"/>
    </xf>
    <xf numFmtId="3" fontId="18" fillId="6" borderId="5" xfId="0" applyNumberFormat="1" applyFont="1" applyFill="1" applyBorder="1" applyAlignment="1">
      <alignment horizontal="right" vertical="center"/>
    </xf>
    <xf numFmtId="3" fontId="11" fillId="6" borderId="8" xfId="3" applyNumberFormat="1" applyFont="1" applyFill="1" applyBorder="1" applyAlignment="1">
      <alignment horizontal="right" vertical="center"/>
    </xf>
    <xf numFmtId="166" fontId="11" fillId="6" borderId="8" xfId="1" applyNumberFormat="1" applyFont="1" applyFill="1" applyBorder="1" applyAlignment="1">
      <alignment horizontal="right" vertical="center"/>
    </xf>
    <xf numFmtId="166" fontId="11" fillId="6" borderId="6" xfId="1" applyNumberFormat="1" applyFont="1" applyFill="1" applyBorder="1" applyAlignment="1">
      <alignment vertical="center"/>
    </xf>
    <xf numFmtId="3" fontId="18" fillId="6" borderId="10" xfId="0" applyNumberFormat="1" applyFont="1" applyFill="1" applyBorder="1" applyAlignment="1">
      <alignment horizontal="right" vertical="center"/>
    </xf>
    <xf numFmtId="164" fontId="11" fillId="6" borderId="8" xfId="3" applyNumberFormat="1" applyFont="1" applyFill="1" applyBorder="1" applyAlignment="1">
      <alignment horizontal="right" vertical="center"/>
    </xf>
    <xf numFmtId="164" fontId="11" fillId="6" borderId="6" xfId="3" applyNumberFormat="1" applyFont="1" applyFill="1" applyBorder="1" applyAlignment="1">
      <alignment vertical="center"/>
    </xf>
    <xf numFmtId="3" fontId="11" fillId="0" borderId="11" xfId="0" applyNumberFormat="1" applyFont="1" applyBorder="1" applyAlignment="1">
      <alignment horizontal="center" vertical="center"/>
    </xf>
    <xf numFmtId="164" fontId="11" fillId="0" borderId="11" xfId="3" applyNumberFormat="1" applyFont="1" applyFill="1" applyBorder="1" applyAlignment="1">
      <alignment horizontal="center" vertical="center"/>
    </xf>
    <xf numFmtId="9" fontId="11" fillId="0" borderId="11" xfId="3" applyFont="1" applyFill="1" applyBorder="1" applyAlignment="1">
      <alignment horizontal="center" vertical="center"/>
    </xf>
    <xf numFmtId="9" fontId="11" fillId="0" borderId="11" xfId="3" applyFont="1" applyFill="1" applyBorder="1" applyAlignment="1">
      <alignment horizontal="right" vertical="center"/>
    </xf>
    <xf numFmtId="0" fontId="10" fillId="0" borderId="0" xfId="0" applyFont="1" applyAlignment="1">
      <alignment vertical="top"/>
    </xf>
    <xf numFmtId="164" fontId="11" fillId="0" borderId="0" xfId="3" applyNumberFormat="1" applyFont="1" applyFill="1" applyBorder="1" applyAlignment="1">
      <alignment horizontal="center" vertical="top"/>
    </xf>
    <xf numFmtId="9" fontId="11" fillId="0" borderId="0" xfId="3" applyFont="1" applyFill="1" applyBorder="1" applyAlignment="1">
      <alignment horizontal="center" vertical="top"/>
    </xf>
    <xf numFmtId="3" fontId="4" fillId="0" borderId="0" xfId="0" applyNumberFormat="1" applyFont="1" applyAlignment="1">
      <alignment horizontal="center" vertical="top"/>
    </xf>
    <xf numFmtId="9" fontId="11" fillId="0" borderId="0" xfId="3" applyFont="1" applyFill="1" applyBorder="1" applyAlignment="1">
      <alignment horizontal="right" vertical="top"/>
    </xf>
    <xf numFmtId="3" fontId="11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164" fontId="11" fillId="0" borderId="0" xfId="3" applyNumberFormat="1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vertical="center"/>
    </xf>
    <xf numFmtId="0" fontId="18" fillId="6" borderId="6" xfId="0" applyFont="1" applyFill="1" applyBorder="1" applyAlignment="1">
      <alignment horizontal="center" vertical="center"/>
    </xf>
    <xf numFmtId="10" fontId="11" fillId="0" borderId="0" xfId="4" applyNumberFormat="1" applyFont="1" applyFill="1" applyBorder="1" applyAlignment="1">
      <alignment horizontal="center" vertical="center"/>
    </xf>
    <xf numFmtId="3" fontId="11" fillId="0" borderId="8" xfId="0" applyNumberFormat="1" applyFont="1" applyBorder="1" applyAlignment="1">
      <alignment vertical="center"/>
    </xf>
    <xf numFmtId="164" fontId="11" fillId="0" borderId="6" xfId="3" applyNumberFormat="1" applyFont="1" applyBorder="1" applyAlignment="1">
      <alignment vertical="center"/>
    </xf>
    <xf numFmtId="0" fontId="17" fillId="0" borderId="0" xfId="0" applyFont="1" applyAlignment="1">
      <alignment vertical="center"/>
    </xf>
    <xf numFmtId="3" fontId="11" fillId="5" borderId="8" xfId="0" applyNumberFormat="1" applyFont="1" applyFill="1" applyBorder="1" applyAlignment="1">
      <alignment vertical="center"/>
    </xf>
    <xf numFmtId="3" fontId="15" fillId="2" borderId="8" xfId="0" applyNumberFormat="1" applyFont="1" applyFill="1" applyBorder="1" applyAlignment="1">
      <alignment vertical="center"/>
    </xf>
    <xf numFmtId="9" fontId="15" fillId="2" borderId="6" xfId="2" applyFont="1" applyFill="1" applyBorder="1" applyAlignment="1">
      <alignment vertical="center"/>
    </xf>
    <xf numFmtId="0" fontId="11" fillId="0" borderId="0" xfId="0" applyFont="1" applyAlignment="1">
      <alignment horizontal="right" vertical="center"/>
    </xf>
    <xf numFmtId="0" fontId="18" fillId="0" borderId="5" xfId="0" applyFont="1" applyBorder="1" applyAlignment="1">
      <alignment vertical="center"/>
    </xf>
    <xf numFmtId="166" fontId="11" fillId="0" borderId="8" xfId="1" applyNumberFormat="1" applyFont="1" applyBorder="1" applyAlignment="1">
      <alignment horizontal="center" vertical="center"/>
    </xf>
    <xf numFmtId="164" fontId="11" fillId="0" borderId="6" xfId="3" applyNumberFormat="1" applyFont="1" applyBorder="1" applyAlignment="1">
      <alignment horizontal="center" vertical="center"/>
    </xf>
    <xf numFmtId="0" fontId="18" fillId="5" borderId="5" xfId="0" applyFont="1" applyFill="1" applyBorder="1" applyAlignment="1">
      <alignment vertical="center"/>
    </xf>
    <xf numFmtId="164" fontId="11" fillId="5" borderId="6" xfId="3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15" fillId="2" borderId="5" xfId="0" applyFont="1" applyFill="1" applyBorder="1" applyAlignment="1">
      <alignment vertical="center"/>
    </xf>
    <xf numFmtId="166" fontId="15" fillId="2" borderId="8" xfId="1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10" fontId="26" fillId="0" borderId="0" xfId="4" applyNumberFormat="1" applyFont="1" applyFill="1" applyBorder="1" applyAlignment="1">
      <alignment horizontal="center" vertical="center"/>
    </xf>
    <xf numFmtId="10" fontId="27" fillId="0" borderId="0" xfId="4" applyNumberFormat="1" applyFont="1" applyBorder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25" fillId="0" borderId="0" xfId="0" applyFont="1" applyAlignment="1">
      <alignment vertical="center"/>
    </xf>
    <xf numFmtId="0" fontId="4" fillId="0" borderId="0" xfId="3" applyNumberFormat="1" applyFont="1" applyBorder="1" applyAlignment="1">
      <alignment vertical="center"/>
    </xf>
    <xf numFmtId="3" fontId="22" fillId="0" borderId="0" xfId="0" applyNumberFormat="1" applyFont="1" applyAlignment="1">
      <alignment horizontal="center" vertical="center"/>
    </xf>
    <xf numFmtId="164" fontId="15" fillId="2" borderId="6" xfId="2" applyNumberFormat="1" applyFont="1" applyFill="1" applyBorder="1" applyAlignment="1">
      <alignment horizontal="center" vertical="center"/>
    </xf>
    <xf numFmtId="17" fontId="15" fillId="2" borderId="5" xfId="0" applyNumberFormat="1" applyFont="1" applyFill="1" applyBorder="1" applyAlignment="1">
      <alignment horizontal="center" vertical="center"/>
    </xf>
    <xf numFmtId="17" fontId="15" fillId="2" borderId="6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right"/>
    </xf>
    <xf numFmtId="0" fontId="12" fillId="4" borderId="1" xfId="0" applyFont="1" applyFill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3" fontId="14" fillId="4" borderId="1" xfId="0" applyNumberFormat="1" applyFont="1" applyFill="1" applyBorder="1" applyAlignment="1">
      <alignment horizontal="center" vertical="center"/>
    </xf>
    <xf numFmtId="3" fontId="14" fillId="4" borderId="0" xfId="0" applyNumberFormat="1" applyFont="1" applyFill="1" applyAlignment="1">
      <alignment horizontal="center" vertical="center"/>
    </xf>
    <xf numFmtId="3" fontId="14" fillId="4" borderId="2" xfId="0" applyNumberFormat="1" applyFont="1" applyFill="1" applyBorder="1" applyAlignment="1">
      <alignment horizontal="center" vertical="center"/>
    </xf>
    <xf numFmtId="3" fontId="14" fillId="4" borderId="3" xfId="0" applyNumberFormat="1" applyFont="1" applyFill="1" applyBorder="1" applyAlignment="1">
      <alignment horizontal="center" vertical="center"/>
    </xf>
    <xf numFmtId="9" fontId="14" fillId="4" borderId="4" xfId="2" applyFont="1" applyFill="1" applyBorder="1" applyAlignment="1">
      <alignment horizontal="center" vertical="center"/>
    </xf>
    <xf numFmtId="9" fontId="14" fillId="4" borderId="0" xfId="2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5" fillId="2" borderId="6" xfId="0" applyFont="1" applyFill="1" applyBorder="1" applyAlignment="1">
      <alignment horizontal="center" vertical="center"/>
    </xf>
    <xf numFmtId="17" fontId="15" fillId="2" borderId="8" xfId="0" applyNumberFormat="1" applyFont="1" applyFill="1" applyBorder="1" applyAlignment="1">
      <alignment horizontal="center" vertical="center"/>
    </xf>
    <xf numFmtId="3" fontId="11" fillId="5" borderId="8" xfId="0" applyNumberFormat="1" applyFont="1" applyFill="1" applyBorder="1" applyAlignment="1">
      <alignment horizontal="right" vertical="center"/>
    </xf>
    <xf numFmtId="3" fontId="11" fillId="0" borderId="8" xfId="0" applyNumberFormat="1" applyFont="1" applyBorder="1" applyAlignment="1">
      <alignment horizontal="right" vertical="center"/>
    </xf>
    <xf numFmtId="10" fontId="11" fillId="5" borderId="8" xfId="2" applyNumberFormat="1" applyFont="1" applyFill="1" applyBorder="1" applyAlignment="1">
      <alignment horizontal="right" vertical="center"/>
    </xf>
    <xf numFmtId="166" fontId="11" fillId="5" borderId="8" xfId="1" applyNumberFormat="1" applyFont="1" applyFill="1" applyBorder="1" applyAlignment="1">
      <alignment horizontal="right" vertical="center"/>
    </xf>
    <xf numFmtId="166" fontId="11" fillId="5" borderId="8" xfId="1" applyNumberFormat="1" applyFont="1" applyFill="1" applyBorder="1" applyAlignment="1">
      <alignment horizontal="center" vertical="center"/>
    </xf>
    <xf numFmtId="9" fontId="11" fillId="0" borderId="8" xfId="3" applyFont="1" applyFill="1" applyBorder="1" applyAlignment="1">
      <alignment horizontal="right" vertical="center"/>
    </xf>
    <xf numFmtId="9" fontId="11" fillId="0" borderId="8" xfId="2" applyFont="1" applyFill="1" applyBorder="1" applyAlignment="1">
      <alignment horizontal="right" vertical="center"/>
    </xf>
    <xf numFmtId="164" fontId="11" fillId="5" borderId="8" xfId="3" applyNumberFormat="1" applyFont="1" applyFill="1" applyBorder="1" applyAlignment="1">
      <alignment horizontal="right" vertical="center"/>
    </xf>
    <xf numFmtId="166" fontId="11" fillId="0" borderId="8" xfId="1" applyNumberFormat="1" applyFont="1" applyFill="1" applyBorder="1" applyAlignment="1">
      <alignment horizontal="right" vertical="center"/>
    </xf>
    <xf numFmtId="166" fontId="11" fillId="0" borderId="8" xfId="1" applyNumberFormat="1" applyFont="1" applyFill="1" applyBorder="1" applyAlignment="1">
      <alignment horizontal="center" vertical="center"/>
    </xf>
    <xf numFmtId="164" fontId="11" fillId="6" borderId="8" xfId="3" applyNumberFormat="1" applyFont="1" applyFill="1" applyBorder="1" applyAlignment="1">
      <alignment horizontal="right" vertical="center"/>
    </xf>
    <xf numFmtId="166" fontId="11" fillId="6" borderId="8" xfId="1" applyNumberFormat="1" applyFont="1" applyFill="1" applyBorder="1" applyAlignment="1">
      <alignment horizontal="right" vertical="center"/>
    </xf>
    <xf numFmtId="0" fontId="18" fillId="6" borderId="5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5" borderId="5" xfId="0" applyFont="1" applyFill="1" applyBorder="1" applyAlignment="1">
      <alignment horizontal="left" vertical="center"/>
    </xf>
    <xf numFmtId="0" fontId="18" fillId="5" borderId="8" xfId="0" applyFont="1" applyFill="1" applyBorder="1" applyAlignment="1">
      <alignment horizontal="left" vertical="center"/>
    </xf>
    <xf numFmtId="0" fontId="15" fillId="2" borderId="5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horizontal="left" vertical="center"/>
    </xf>
  </cellXfs>
  <cellStyles count="5">
    <cellStyle name="Comma" xfId="1" builtinId="3"/>
    <cellStyle name="Normal" xfId="0" builtinId="0"/>
    <cellStyle name="Percent" xfId="2" builtinId="5"/>
    <cellStyle name="Percent 2" xfId="3" xr:uid="{12E4B4FC-6F8F-41E5-AA77-080BDA2EFDBC}"/>
    <cellStyle name="Percent 6" xfId="4" xr:uid="{6C151A3A-5056-4056-B87D-A873BE39E7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282982791587"/>
          <c:y val="0.19359619373421019"/>
          <c:w val="0.84512428298279163"/>
          <c:h val="0.687031368269977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'[1]Graph FCost'!$F$4</c:f>
              <c:strCache>
                <c:ptCount val="1"/>
                <c:pt idx="0">
                  <c:v>F-Cost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'F-Cost'!$E$12:$Q$12</c15:sqref>
                  </c15:fullRef>
                </c:ext>
              </c:extLst>
              <c:f>('F-Cost'!$E$12:$F$12,'F-Cost'!$H$12,'F-Cost'!$J$12,'F-Cost'!$M$12,'F-Cost'!$P$12)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'F-Cost'!$E$14:$Q$14</c15:sqref>
                  </c15:fullRef>
                </c:ext>
              </c:extLst>
              <c:f>('F-Cost'!$E$14:$F$14,'F-Cost'!$H$14,'F-Cost'!$J$14,'F-Cost'!$M$14,'F-Cost'!$P$14)</c:f>
              <c:numCache>
                <c:formatCode>#,##0</c:formatCode>
                <c:ptCount val="6"/>
                <c:pt idx="0">
                  <c:v>1284790.8190000043</c:v>
                </c:pt>
                <c:pt idx="1">
                  <c:v>1383946.5600000033</c:v>
                </c:pt>
                <c:pt idx="2">
                  <c:v>1344461.4289999986</c:v>
                </c:pt>
                <c:pt idx="3">
                  <c:v>1336821.1310000019</c:v>
                </c:pt>
                <c:pt idx="4">
                  <c:v>1236685.2380000018</c:v>
                </c:pt>
                <c:pt idx="5">
                  <c:v>984681.28099999973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5-44CB-B8B6-EDF90DC9FC74}"/>
            </c:ext>
          </c:extLst>
        </c:ser>
        <c:ser>
          <c:idx val="1"/>
          <c:order val="1"/>
          <c:tx>
            <c:strRef>
              <c:f>'[1]Graph FCost'!$F$5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 w="9525" cap="flat" cmpd="sng" algn="ctr">
              <a:solidFill>
                <a:schemeClr val="bg1">
                  <a:lumMod val="65000"/>
                </a:schemeClr>
              </a:solidFill>
              <a:prstDash val="sysDash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05-44CB-B8B6-EDF90DC9FC7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05-44CB-B8B6-EDF90DC9FC7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05-44CB-B8B6-EDF90DC9FC7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05-44CB-B8B6-EDF90DC9FC7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05-44CB-B8B6-EDF90DC9FC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'F-Cost'!$E$12:$Q$12</c15:sqref>
                  </c15:fullRef>
                </c:ext>
              </c:extLst>
              <c:f>('F-Cost'!$E$12:$F$12,'F-Cost'!$H$12,'F-Cost'!$J$12,'F-Cost'!$M$12,'F-Cost'!$P$12)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'F-Cost'!$E$15:$Q$15</c15:sqref>
                  </c15:fullRef>
                </c:ext>
              </c:extLst>
              <c:f>('F-Cost'!$E$15:$F$15,'F-Cost'!$H$15,'F-Cost'!$J$15,'F-Cost'!$M$15,'F-Cost'!$P$15)</c:f>
              <c:numCache>
                <c:formatCode>#,##0</c:formatCode>
                <c:ptCount val="6"/>
                <c:pt idx="0">
                  <c:v>1494000</c:v>
                </c:pt>
                <c:pt idx="1">
                  <c:v>1494000</c:v>
                </c:pt>
                <c:pt idx="2">
                  <c:v>1494000</c:v>
                </c:pt>
                <c:pt idx="3">
                  <c:v>1494000</c:v>
                </c:pt>
                <c:pt idx="4">
                  <c:v>1494000</c:v>
                </c:pt>
                <c:pt idx="5">
                  <c:v>1494000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'F-Cost'!$K$15</c15:sqref>
                  <c15:dLbl>
                    <c:idx val="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A9B3-4D36-8E0C-CB68CB35DBB5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6-2305-44CB-B8B6-EDF90DC9F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747736"/>
        <c:axId val="47748128"/>
      </c:barChart>
      <c:lineChart>
        <c:grouping val="standard"/>
        <c:varyColors val="0"/>
        <c:ser>
          <c:idx val="2"/>
          <c:order val="2"/>
          <c:tx>
            <c:strRef>
              <c:f>'F-Cost'!$B$16</c:f>
              <c:strCache>
                <c:ptCount val="1"/>
                <c:pt idx="0">
                  <c:v>Ratio vs Sales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'F-Cost'!$E$12:$Q$12</c15:sqref>
                  </c15:fullRef>
                </c:ext>
              </c:extLst>
              <c:f>('F-Cost'!$E$12:$F$12,'F-Cost'!$H$12,'F-Cost'!$J$12,'F-Cost'!$M$12,'F-Cost'!$P$12)</c:f>
              <c:numCache>
                <c:formatCode>mmm\-yy</c:formatCode>
                <c:ptCount val="6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'F-Cost'!$E$16:$Q$16</c15:sqref>
                  </c15:fullRef>
                </c:ext>
              </c:extLst>
              <c:f>('F-Cost'!$E$16:$F$16,'F-Cost'!$H$16,'F-Cost'!$J$16,'F-Cost'!$M$16,'F-Cost'!$P$16)</c:f>
              <c:numCache>
                <c:formatCode>0.00%</c:formatCode>
                <c:ptCount val="6"/>
                <c:pt idx="0">
                  <c:v>9.2124917781807314E-3</c:v>
                </c:pt>
                <c:pt idx="1">
                  <c:v>7.3893249653537415E-3</c:v>
                </c:pt>
                <c:pt idx="2">
                  <c:v>6.858313593536545E-3</c:v>
                </c:pt>
                <c:pt idx="3">
                  <c:v>7.1781260494206646E-3</c:v>
                </c:pt>
                <c:pt idx="4">
                  <c:v>7.8047555318707549E-3</c:v>
                </c:pt>
                <c:pt idx="5">
                  <c:v>6.3412746349936801E-3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305-44CB-B8B6-EDF90DC9F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1805600"/>
        <c:axId val="441808000"/>
      </c:lineChart>
      <c:dateAx>
        <c:axId val="47747736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8128"/>
        <c:crosses val="autoZero"/>
        <c:auto val="1"/>
        <c:lblOffset val="100"/>
        <c:baseTimeUnit val="months"/>
      </c:dateAx>
      <c:valAx>
        <c:axId val="4774812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spc="2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47736"/>
        <c:crosses val="autoZero"/>
        <c:crossBetween val="between"/>
      </c:valAx>
      <c:valAx>
        <c:axId val="44180800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1805600"/>
        <c:crosses val="max"/>
        <c:crossBetween val="between"/>
      </c:valAx>
      <c:dateAx>
        <c:axId val="441805600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441808000"/>
        <c:crosses val="autoZero"/>
        <c:auto val="1"/>
        <c:lblOffset val="100"/>
        <c:baseTimeUnit val="months"/>
      </c:date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484874549956507"/>
          <c:y val="5.733816980742576E-2"/>
          <c:w val="0.46832978338440678"/>
          <c:h val="8.4270252735262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9</xdr:col>
      <xdr:colOff>514350</xdr:colOff>
      <xdr:row>37</xdr:row>
      <xdr:rowOff>200025</xdr:rowOff>
    </xdr:to>
    <xdr:graphicFrame macro="">
      <xdr:nvGraphicFramePr>
        <xdr:cNvPr id="2" name="Chart 15">
          <a:extLst>
            <a:ext uri="{FF2B5EF4-FFF2-40B4-BE49-F238E27FC236}">
              <a16:creationId xmlns:a16="http://schemas.microsoft.com/office/drawing/2014/main" id="{ADAEEDF9-8AA2-4D23-BB6D-AB31F56A0A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27A2-3F03-45C3-9A5C-543D9756F60E}">
  <sheetPr>
    <pageSetUpPr fitToPage="1"/>
  </sheetPr>
  <dimension ref="A1:AN507"/>
  <sheetViews>
    <sheetView showGridLines="0" tabSelected="1" zoomScaleNormal="100" zoomScaleSheetLayoutView="70" workbookViewId="0">
      <selection activeCell="Z10" sqref="Z10"/>
    </sheetView>
  </sheetViews>
  <sheetFormatPr defaultColWidth="9.140625" defaultRowHeight="19.5" customHeight="1" x14ac:dyDescent="0.25"/>
  <cols>
    <col min="1" max="1" width="1.7109375" style="1" customWidth="1"/>
    <col min="2" max="3" width="13.7109375" style="1" customWidth="1"/>
    <col min="4" max="4" width="2.140625" style="1" customWidth="1"/>
    <col min="5" max="6" width="13.7109375" style="1" customWidth="1"/>
    <col min="7" max="7" width="2.140625" style="1" customWidth="1"/>
    <col min="8" max="8" width="9.7109375" style="1" customWidth="1"/>
    <col min="9" max="9" width="5.28515625" style="1" customWidth="1"/>
    <col min="10" max="10" width="9.7109375" style="1" customWidth="1"/>
    <col min="11" max="11" width="3.7109375" style="1" customWidth="1"/>
    <col min="12" max="12" width="2.28515625" style="1" customWidth="1"/>
    <col min="13" max="13" width="2.140625" style="1" customWidth="1"/>
    <col min="14" max="14" width="3.140625" style="1" customWidth="1"/>
    <col min="15" max="15" width="9.42578125" style="1" customWidth="1"/>
    <col min="16" max="16" width="7.7109375" style="1" customWidth="1"/>
    <col min="17" max="17" width="6.7109375" style="1" customWidth="1"/>
    <col min="18" max="18" width="13.7109375" style="1" customWidth="1"/>
    <col min="19" max="19" width="3.85546875" style="1" customWidth="1"/>
    <col min="20" max="20" width="9.140625" style="1"/>
    <col min="21" max="22" width="12.7109375" style="1" bestFit="1" customWidth="1"/>
    <col min="23" max="16384" width="9.140625" style="1"/>
  </cols>
  <sheetData>
    <row r="1" spans="2:40" ht="19.5" customHeight="1" x14ac:dyDescent="0.25">
      <c r="Y1"/>
      <c r="Z1"/>
      <c r="AA1"/>
      <c r="AB1"/>
      <c r="AC1"/>
      <c r="AD1"/>
      <c r="AE1"/>
      <c r="AF1"/>
    </row>
    <row r="2" spans="2:40" ht="25.5" customHeight="1" x14ac:dyDescent="0.2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  <c r="R2" s="3"/>
      <c r="Y2"/>
      <c r="Z2"/>
      <c r="AA2"/>
      <c r="AB2"/>
      <c r="AC2"/>
      <c r="AD2"/>
      <c r="AE2"/>
      <c r="AF2"/>
    </row>
    <row r="3" spans="2:40" ht="15" customHeight="1" x14ac:dyDescent="0.25">
      <c r="B3" s="4" t="s">
        <v>1</v>
      </c>
      <c r="C3" s="5" t="s">
        <v>2</v>
      </c>
      <c r="D3" s="5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101" t="s">
        <v>3</v>
      </c>
      <c r="R3" s="101"/>
      <c r="Y3"/>
      <c r="Z3"/>
      <c r="AA3"/>
      <c r="AB3"/>
      <c r="AC3"/>
      <c r="AD3"/>
      <c r="AE3"/>
      <c r="AF3"/>
    </row>
    <row r="4" spans="2:40" ht="20.25" customHeight="1" x14ac:dyDescent="0.35">
      <c r="B4" s="4" t="s">
        <v>4</v>
      </c>
      <c r="C4" s="5" t="s">
        <v>5</v>
      </c>
      <c r="D4" s="5"/>
      <c r="E4" s="4"/>
      <c r="F4" s="4"/>
      <c r="G4" s="4"/>
      <c r="H4" s="4"/>
      <c r="I4" s="4"/>
      <c r="J4" s="4"/>
      <c r="K4" s="4"/>
      <c r="L4" s="6"/>
      <c r="M4" s="4"/>
      <c r="N4" s="4"/>
      <c r="O4" s="4"/>
      <c r="P4" s="4"/>
      <c r="Q4" s="7"/>
      <c r="R4" s="8">
        <v>46082</v>
      </c>
      <c r="Y4"/>
      <c r="Z4"/>
      <c r="AA4"/>
      <c r="AB4"/>
      <c r="AC4"/>
      <c r="AD4"/>
      <c r="AE4"/>
      <c r="AF4"/>
    </row>
    <row r="5" spans="2:40" s="10" customFormat="1" ht="19.5" customHeight="1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9"/>
      <c r="Q5" s="9"/>
      <c r="R5" s="9"/>
      <c r="Y5"/>
      <c r="Z5"/>
      <c r="AA5"/>
      <c r="AB5"/>
      <c r="AC5"/>
      <c r="AD5"/>
      <c r="AE5"/>
      <c r="AF5"/>
    </row>
    <row r="6" spans="2:40" s="10" customFormat="1" ht="19.5" customHeight="1" x14ac:dyDescent="0.25">
      <c r="B6" s="11" t="s">
        <v>38</v>
      </c>
      <c r="C6" s="12"/>
      <c r="D6" s="12"/>
      <c r="E6" s="12"/>
      <c r="F6" s="12"/>
      <c r="G6" s="12"/>
      <c r="H6" s="1"/>
      <c r="I6" s="1"/>
      <c r="J6" s="1"/>
      <c r="K6" s="1"/>
      <c r="L6" s="1"/>
      <c r="M6" s="1"/>
      <c r="N6" s="1"/>
      <c r="O6" s="1"/>
      <c r="P6" s="9"/>
      <c r="Q6" s="9"/>
      <c r="R6" s="9"/>
      <c r="Y6"/>
      <c r="Z6"/>
      <c r="AA6"/>
      <c r="AB6"/>
      <c r="AC6"/>
      <c r="AD6"/>
      <c r="AE6"/>
      <c r="AF6"/>
    </row>
    <row r="7" spans="2:40" s="10" customFormat="1" ht="19.5" customHeight="1" x14ac:dyDescent="0.25">
      <c r="B7" s="102" t="s">
        <v>6</v>
      </c>
      <c r="C7" s="103"/>
      <c r="D7" s="13"/>
      <c r="E7" s="104" t="s">
        <v>7</v>
      </c>
      <c r="F7" s="103"/>
      <c r="G7" s="13"/>
      <c r="H7" s="105" t="s">
        <v>8</v>
      </c>
      <c r="I7" s="103"/>
      <c r="J7" s="103"/>
      <c r="K7" s="103"/>
      <c r="L7" s="103"/>
      <c r="N7" s="106" t="s">
        <v>9</v>
      </c>
      <c r="O7" s="103"/>
      <c r="P7" s="103"/>
      <c r="Q7" s="103"/>
      <c r="R7" s="9"/>
      <c r="Y7"/>
      <c r="Z7"/>
      <c r="AA7"/>
      <c r="AB7"/>
      <c r="AC7"/>
      <c r="AD7"/>
      <c r="AE7"/>
      <c r="AF7"/>
    </row>
    <row r="8" spans="2:40" s="10" customFormat="1" ht="19.5" customHeight="1" x14ac:dyDescent="0.25">
      <c r="B8" s="107">
        <f>R13</f>
        <v>1022755084.8729999</v>
      </c>
      <c r="C8" s="108"/>
      <c r="E8" s="109">
        <f>R14</f>
        <v>7571386.4580000099</v>
      </c>
      <c r="F8" s="108"/>
      <c r="H8" s="110">
        <v>984681.28099999973</v>
      </c>
      <c r="I8" s="108"/>
      <c r="J8" s="108"/>
      <c r="K8" s="108"/>
      <c r="L8" s="108"/>
      <c r="N8" s="111">
        <f>P17</f>
        <v>0.65909054953145896</v>
      </c>
      <c r="O8" s="112"/>
      <c r="P8" s="112"/>
      <c r="Q8" s="112"/>
      <c r="R8" s="9"/>
      <c r="Y8"/>
      <c r="Z8"/>
      <c r="AA8"/>
      <c r="AB8"/>
      <c r="AC8"/>
      <c r="AD8"/>
      <c r="AE8"/>
      <c r="AF8"/>
    </row>
    <row r="9" spans="2:40" s="16" customFormat="1" ht="19.5" customHeight="1" x14ac:dyDescent="0.25">
      <c r="B9"/>
      <c r="C9"/>
      <c r="D9"/>
      <c r="E9"/>
      <c r="F9" s="14"/>
      <c r="G9" s="14"/>
      <c r="H9" s="15"/>
      <c r="I9" s="15"/>
      <c r="J9" s="15"/>
      <c r="K9" s="15"/>
      <c r="L9" s="15"/>
      <c r="M9" s="1"/>
      <c r="N9" s="1"/>
      <c r="O9" s="1"/>
      <c r="P9" s="1"/>
      <c r="Q9" s="1"/>
      <c r="R9" s="1"/>
      <c r="Y9"/>
      <c r="Z9"/>
      <c r="AA9"/>
      <c r="AB9"/>
      <c r="AC9"/>
      <c r="AD9"/>
      <c r="AE9"/>
      <c r="AF9"/>
    </row>
    <row r="10" spans="2:40" s="16" customFormat="1" ht="19.5" customHeight="1" x14ac:dyDescent="0.25">
      <c r="B10" s="17"/>
      <c r="C10" s="18"/>
      <c r="D10" s="18"/>
      <c r="E10" s="18"/>
      <c r="F10" s="14"/>
      <c r="G10" s="14"/>
      <c r="H10" s="15"/>
      <c r="I10" s="15"/>
      <c r="J10" s="15"/>
      <c r="K10" s="15"/>
      <c r="L10" s="15"/>
      <c r="M10" s="1"/>
      <c r="N10" s="1"/>
      <c r="O10" s="1"/>
      <c r="P10" s="1"/>
      <c r="Q10" s="1"/>
      <c r="R10" s="1"/>
      <c r="Y10"/>
      <c r="Z10"/>
      <c r="AA10"/>
      <c r="AB10"/>
      <c r="AC10"/>
      <c r="AD10"/>
      <c r="AE10"/>
      <c r="AF10"/>
    </row>
    <row r="11" spans="2:40" s="16" customFormat="1" ht="20.25" customHeight="1" x14ac:dyDescent="0.25">
      <c r="B11" s="11" t="s">
        <v>10</v>
      </c>
      <c r="C11" s="12"/>
      <c r="D11" s="12"/>
      <c r="E11" s="12"/>
      <c r="F11" s="12"/>
      <c r="G11" s="19"/>
      <c r="H11" s="19"/>
      <c r="I11" s="19"/>
      <c r="J11" s="19"/>
      <c r="K11" s="19"/>
      <c r="M11" s="12"/>
      <c r="R11" s="20" t="s">
        <v>11</v>
      </c>
      <c r="Z11" s="21"/>
      <c r="AA11" s="21"/>
      <c r="AB11" s="21"/>
      <c r="AC11" s="21"/>
      <c r="AD11" s="21"/>
      <c r="AE11" s="21"/>
      <c r="AF11" s="21"/>
      <c r="AG11" s="21"/>
    </row>
    <row r="12" spans="2:40" s="16" customFormat="1" ht="17.25" customHeight="1" x14ac:dyDescent="0.25">
      <c r="B12" s="22"/>
      <c r="C12" s="113" t="s">
        <v>12</v>
      </c>
      <c r="D12" s="114"/>
      <c r="E12" s="23">
        <v>45931</v>
      </c>
      <c r="F12" s="99">
        <v>45962</v>
      </c>
      <c r="G12" s="100"/>
      <c r="H12" s="99">
        <v>45992</v>
      </c>
      <c r="I12" s="100"/>
      <c r="J12" s="99">
        <v>46023</v>
      </c>
      <c r="K12" s="115"/>
      <c r="L12" s="100"/>
      <c r="M12" s="99">
        <v>46054</v>
      </c>
      <c r="N12" s="115"/>
      <c r="O12" s="100"/>
      <c r="P12" s="99">
        <v>46082</v>
      </c>
      <c r="Q12" s="100"/>
      <c r="R12" s="24" t="s">
        <v>13</v>
      </c>
      <c r="S12" s="25"/>
      <c r="Z12" s="25"/>
      <c r="AG12"/>
      <c r="AH12"/>
      <c r="AI12"/>
      <c r="AJ12"/>
      <c r="AK12"/>
      <c r="AL12"/>
      <c r="AM12"/>
      <c r="AN12"/>
    </row>
    <row r="13" spans="2:40" s="16" customFormat="1" ht="17.25" customHeight="1" x14ac:dyDescent="0.25">
      <c r="B13" s="26" t="s">
        <v>14</v>
      </c>
      <c r="C13" s="27">
        <v>932575874.75800014</v>
      </c>
      <c r="D13" s="27"/>
      <c r="E13" s="27">
        <v>139461814.45100001</v>
      </c>
      <c r="F13" s="117">
        <v>187289984.74000001</v>
      </c>
      <c r="G13" s="117"/>
      <c r="H13" s="117">
        <v>196033822.40599999</v>
      </c>
      <c r="I13" s="117"/>
      <c r="J13" s="117">
        <v>186235393.722</v>
      </c>
      <c r="K13" s="117"/>
      <c r="L13" s="117"/>
      <c r="M13" s="117">
        <v>158452783.428</v>
      </c>
      <c r="N13" s="117"/>
      <c r="O13" s="117"/>
      <c r="P13" s="117">
        <v>155281286.12599999</v>
      </c>
      <c r="Q13" s="117"/>
      <c r="R13" s="28">
        <f>SUM(E13:P13)</f>
        <v>1022755084.8729999</v>
      </c>
      <c r="S13" s="14"/>
      <c r="Z13" s="14"/>
      <c r="AG13"/>
      <c r="AH13"/>
      <c r="AI13"/>
      <c r="AJ13"/>
      <c r="AK13"/>
      <c r="AL13"/>
      <c r="AM13"/>
      <c r="AN13"/>
    </row>
    <row r="14" spans="2:40" s="16" customFormat="1" ht="17.25" customHeight="1" x14ac:dyDescent="0.25">
      <c r="B14" s="29" t="s">
        <v>15</v>
      </c>
      <c r="C14" s="30">
        <v>8827205.6579999998</v>
      </c>
      <c r="D14" s="30"/>
      <c r="E14" s="30">
        <v>1284790.8190000043</v>
      </c>
      <c r="F14" s="116">
        <v>1383946.5600000033</v>
      </c>
      <c r="G14" s="116"/>
      <c r="H14" s="116">
        <v>1344461.4289999986</v>
      </c>
      <c r="I14" s="116"/>
      <c r="J14" s="116">
        <v>1336821.1310000019</v>
      </c>
      <c r="K14" s="116"/>
      <c r="L14" s="116"/>
      <c r="M14" s="116">
        <v>1236685.2380000018</v>
      </c>
      <c r="N14" s="116"/>
      <c r="O14" s="116"/>
      <c r="P14" s="116">
        <v>984681.28099999973</v>
      </c>
      <c r="Q14" s="116"/>
      <c r="R14" s="31">
        <f>SUM(E14:P14)</f>
        <v>7571386.4580000099</v>
      </c>
      <c r="S14" s="14"/>
      <c r="Z14" s="14"/>
      <c r="AG14"/>
      <c r="AH14"/>
      <c r="AI14"/>
      <c r="AJ14"/>
      <c r="AK14"/>
      <c r="AL14"/>
      <c r="AM14"/>
      <c r="AN14"/>
    </row>
    <row r="15" spans="2:40" s="16" customFormat="1" ht="17.25" customHeight="1" x14ac:dyDescent="0.25">
      <c r="B15" s="26" t="s">
        <v>16</v>
      </c>
      <c r="C15" s="27">
        <v>8244000</v>
      </c>
      <c r="D15" s="27"/>
      <c r="E15" s="27">
        <v>1494000</v>
      </c>
      <c r="F15" s="117">
        <v>1494000</v>
      </c>
      <c r="G15" s="117"/>
      <c r="H15" s="117">
        <v>1494000</v>
      </c>
      <c r="I15" s="117"/>
      <c r="J15" s="117">
        <v>1494000</v>
      </c>
      <c r="K15" s="117"/>
      <c r="L15" s="117"/>
      <c r="M15" s="117">
        <v>1494000</v>
      </c>
      <c r="N15" s="117"/>
      <c r="O15" s="117"/>
      <c r="P15" s="117">
        <v>1494000</v>
      </c>
      <c r="Q15" s="117"/>
      <c r="R15" s="28">
        <f>SUM(E15:P15)</f>
        <v>8964000</v>
      </c>
      <c r="S15" s="14"/>
      <c r="T15" s="14"/>
      <c r="U15" s="32"/>
      <c r="V15" s="14"/>
      <c r="W15" s="14"/>
      <c r="X15" s="14"/>
      <c r="Y15" s="14"/>
      <c r="Z15" s="14"/>
      <c r="AG15"/>
      <c r="AH15"/>
      <c r="AI15"/>
      <c r="AJ15"/>
      <c r="AK15"/>
      <c r="AL15"/>
      <c r="AM15"/>
      <c r="AN15"/>
    </row>
    <row r="16" spans="2:40" s="16" customFormat="1" ht="17.25" customHeight="1" x14ac:dyDescent="0.25">
      <c r="B16" s="29" t="s">
        <v>17</v>
      </c>
      <c r="C16" s="33">
        <v>9.4654021157159225E-3</v>
      </c>
      <c r="D16" s="33"/>
      <c r="E16" s="33">
        <f t="shared" ref="E16:P16" si="0">E14/E13</f>
        <v>9.2124917781807314E-3</v>
      </c>
      <c r="F16" s="118">
        <f t="shared" si="0"/>
        <v>7.3893249653537415E-3</v>
      </c>
      <c r="G16" s="118"/>
      <c r="H16" s="118">
        <f t="shared" si="0"/>
        <v>6.858313593536545E-3</v>
      </c>
      <c r="I16" s="118"/>
      <c r="J16" s="118">
        <f t="shared" ref="J16" si="1">J14/J13</f>
        <v>7.1781260494206646E-3</v>
      </c>
      <c r="K16" s="118"/>
      <c r="L16" s="118"/>
      <c r="M16" s="118">
        <f t="shared" ref="M16" si="2">M14/M13</f>
        <v>7.8047555318707549E-3</v>
      </c>
      <c r="N16" s="118"/>
      <c r="O16" s="118"/>
      <c r="P16" s="118">
        <f t="shared" si="0"/>
        <v>6.3412746349936801E-3</v>
      </c>
      <c r="Q16" s="118"/>
      <c r="R16" s="34">
        <f>R14/R13</f>
        <v>7.4029321095384071E-3</v>
      </c>
      <c r="S16" s="14"/>
      <c r="T16" s="14"/>
      <c r="U16" s="14"/>
      <c r="V16" s="14"/>
      <c r="W16" s="14"/>
      <c r="X16" s="14"/>
      <c r="Y16" s="14"/>
      <c r="Z16" s="14"/>
      <c r="AG16"/>
      <c r="AH16"/>
      <c r="AI16"/>
      <c r="AJ16"/>
      <c r="AK16"/>
      <c r="AL16"/>
      <c r="AM16"/>
      <c r="AN16"/>
    </row>
    <row r="17" spans="2:40" s="16" customFormat="1" ht="17.25" customHeight="1" x14ac:dyDescent="0.25">
      <c r="B17" s="26" t="s">
        <v>18</v>
      </c>
      <c r="C17" s="35">
        <v>1.0707430443959245</v>
      </c>
      <c r="D17" s="35"/>
      <c r="E17" s="36">
        <f>E14/E15</f>
        <v>0.85996708099063213</v>
      </c>
      <c r="F17" s="121">
        <f>F14/F15</f>
        <v>0.9263363855421709</v>
      </c>
      <c r="G17" s="121"/>
      <c r="H17" s="121">
        <f t="shared" ref="H17" si="3">H14/H15</f>
        <v>0.89990724832663893</v>
      </c>
      <c r="I17" s="121"/>
      <c r="J17" s="121">
        <f>J14/J15</f>
        <v>0.89479326037483398</v>
      </c>
      <c r="K17" s="121"/>
      <c r="L17" s="121"/>
      <c r="M17" s="121">
        <f>M14/M15</f>
        <v>0.8277678969210186</v>
      </c>
      <c r="N17" s="121"/>
      <c r="O17" s="121"/>
      <c r="P17" s="122">
        <f>P14/P15</f>
        <v>0.65909054953145896</v>
      </c>
      <c r="Q17" s="122"/>
      <c r="R17" s="37">
        <f>R14/R15</f>
        <v>0.84464373694779227</v>
      </c>
      <c r="S17" s="14"/>
      <c r="T17" s="14"/>
      <c r="U17" s="14"/>
      <c r="V17" s="14"/>
      <c r="W17" s="14"/>
      <c r="X17" s="25"/>
      <c r="Y17" s="25"/>
      <c r="Z17" s="25"/>
      <c r="AG17"/>
      <c r="AH17"/>
      <c r="AI17"/>
      <c r="AJ17"/>
      <c r="AK17"/>
      <c r="AL17"/>
      <c r="AM17"/>
      <c r="AN17"/>
    </row>
    <row r="18" spans="2:40" s="16" customFormat="1" ht="8.25" customHeight="1" x14ac:dyDescent="0.25">
      <c r="B18" s="38"/>
      <c r="C18" s="35"/>
      <c r="D18" s="35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9"/>
      <c r="S18" s="14"/>
      <c r="T18" s="14"/>
      <c r="U18" s="14"/>
      <c r="V18" s="14"/>
      <c r="W18" s="14"/>
      <c r="X18" s="25"/>
      <c r="Y18" s="25"/>
      <c r="Z18" s="25"/>
      <c r="AG18"/>
      <c r="AH18"/>
      <c r="AI18"/>
      <c r="AJ18"/>
      <c r="AK18"/>
      <c r="AL18"/>
      <c r="AM18"/>
      <c r="AN18"/>
    </row>
    <row r="19" spans="2:40" s="16" customFormat="1" ht="17.25" customHeight="1" x14ac:dyDescent="0.25">
      <c r="B19" s="29" t="s">
        <v>19</v>
      </c>
      <c r="C19" s="40">
        <v>358920</v>
      </c>
      <c r="D19" s="40"/>
      <c r="E19" s="40">
        <v>49360</v>
      </c>
      <c r="F19" s="119">
        <v>67592</v>
      </c>
      <c r="G19" s="119"/>
      <c r="H19" s="119">
        <v>70256</v>
      </c>
      <c r="I19" s="119"/>
      <c r="J19" s="119">
        <v>71797</v>
      </c>
      <c r="K19" s="119"/>
      <c r="L19" s="119"/>
      <c r="M19" s="120">
        <v>60293</v>
      </c>
      <c r="N19" s="120"/>
      <c r="O19" s="120"/>
      <c r="P19" s="120">
        <v>58858</v>
      </c>
      <c r="Q19" s="120"/>
      <c r="R19" s="42">
        <f>SUM(E19:P19)</f>
        <v>378156</v>
      </c>
      <c r="S19" s="14"/>
      <c r="T19" s="14"/>
      <c r="U19" s="14"/>
      <c r="V19" s="14"/>
      <c r="W19" s="19"/>
      <c r="X19" s="25"/>
      <c r="Y19" s="25"/>
      <c r="Z19" s="25"/>
      <c r="AG19"/>
      <c r="AH19"/>
      <c r="AI19"/>
      <c r="AJ19"/>
      <c r="AK19"/>
      <c r="AL19"/>
      <c r="AM19"/>
      <c r="AN19"/>
    </row>
    <row r="20" spans="2:40" s="16" customFormat="1" ht="17.25" customHeight="1" x14ac:dyDescent="0.25">
      <c r="B20" s="26" t="s">
        <v>20</v>
      </c>
      <c r="C20" s="43">
        <v>15844</v>
      </c>
      <c r="D20" s="43"/>
      <c r="E20" s="43">
        <v>2512</v>
      </c>
      <c r="F20" s="124">
        <v>2754</v>
      </c>
      <c r="G20" s="124"/>
      <c r="H20" s="124">
        <v>2855</v>
      </c>
      <c r="I20" s="124"/>
      <c r="J20" s="124">
        <v>2674</v>
      </c>
      <c r="K20" s="124"/>
      <c r="L20" s="124"/>
      <c r="M20" s="125">
        <v>2376</v>
      </c>
      <c r="N20" s="125"/>
      <c r="O20" s="125"/>
      <c r="P20" s="125">
        <v>2043</v>
      </c>
      <c r="Q20" s="125"/>
      <c r="R20" s="44">
        <f>SUM(E20:P20)</f>
        <v>15214</v>
      </c>
      <c r="S20" s="14"/>
      <c r="T20" s="19"/>
      <c r="U20" s="25"/>
      <c r="V20" s="25"/>
      <c r="W20" s="19"/>
      <c r="X20" s="25"/>
      <c r="Y20" s="25"/>
      <c r="Z20" s="25"/>
      <c r="AG20"/>
      <c r="AH20"/>
      <c r="AI20"/>
      <c r="AJ20"/>
      <c r="AK20"/>
      <c r="AL20"/>
      <c r="AM20"/>
      <c r="AN20"/>
    </row>
    <row r="21" spans="2:40" s="16" customFormat="1" ht="17.25" customHeight="1" x14ac:dyDescent="0.25">
      <c r="B21" s="29" t="s">
        <v>21</v>
      </c>
      <c r="C21" s="45">
        <f>C20/C19</f>
        <v>4.4143541736320069E-2</v>
      </c>
      <c r="D21" s="45"/>
      <c r="E21" s="45">
        <f>E20/E19</f>
        <v>5.0891410048622368E-2</v>
      </c>
      <c r="F21" s="123">
        <f t="shared" ref="F21:P21" si="4">F20/F19</f>
        <v>4.0744466800804832E-2</v>
      </c>
      <c r="G21" s="123"/>
      <c r="H21" s="123">
        <f t="shared" si="4"/>
        <v>4.0637098610794807E-2</v>
      </c>
      <c r="I21" s="123"/>
      <c r="J21" s="123">
        <f t="shared" ref="J21" si="5">J20/J19</f>
        <v>3.7243895984511888E-2</v>
      </c>
      <c r="K21" s="123"/>
      <c r="L21" s="123"/>
      <c r="M21" s="123">
        <f t="shared" ref="M21" si="6">M20/M19</f>
        <v>3.9407559749888049E-2</v>
      </c>
      <c r="N21" s="123"/>
      <c r="O21" s="123"/>
      <c r="P21" s="123">
        <f t="shared" si="4"/>
        <v>3.4710659553501645E-2</v>
      </c>
      <c r="Q21" s="123"/>
      <c r="R21" s="46">
        <f>R20/R19</f>
        <v>4.0232073535789462E-2</v>
      </c>
      <c r="S21" s="14"/>
      <c r="T21" s="14"/>
      <c r="U21" s="14"/>
      <c r="V21" s="14"/>
      <c r="W21" s="19"/>
      <c r="X21" s="25"/>
      <c r="Y21" s="25"/>
      <c r="Z21" s="25"/>
      <c r="AG21"/>
      <c r="AH21"/>
      <c r="AI21"/>
      <c r="AJ21"/>
      <c r="AK21"/>
      <c r="AL21"/>
      <c r="AM21"/>
      <c r="AN21"/>
    </row>
    <row r="22" spans="2:40" s="16" customFormat="1" ht="8.25" customHeight="1" x14ac:dyDescent="0.25">
      <c r="B22" s="47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48"/>
      <c r="S22" s="14"/>
      <c r="T22" s="14"/>
      <c r="U22" s="14"/>
      <c r="V22" s="14"/>
      <c r="W22" s="19"/>
      <c r="X22" s="25"/>
      <c r="Y22" s="25"/>
      <c r="Z22" s="25"/>
      <c r="AG22"/>
      <c r="AH22"/>
      <c r="AI22"/>
      <c r="AJ22"/>
      <c r="AK22"/>
      <c r="AL22"/>
      <c r="AM22"/>
      <c r="AN22"/>
    </row>
    <row r="23" spans="2:40" s="16" customFormat="1" ht="17.25" customHeight="1" x14ac:dyDescent="0.25">
      <c r="B23" s="49" t="s">
        <v>22</v>
      </c>
      <c r="C23" s="50">
        <v>8325263.3359999917</v>
      </c>
      <c r="D23" s="50"/>
      <c r="E23" s="51">
        <v>1265442.1889999995</v>
      </c>
      <c r="F23" s="127">
        <v>1320090.4179999961</v>
      </c>
      <c r="G23" s="127"/>
      <c r="H23" s="127">
        <v>1452544.6999999958</v>
      </c>
      <c r="I23" s="127"/>
      <c r="J23" s="127">
        <v>1652336.1940000006</v>
      </c>
      <c r="K23" s="127"/>
      <c r="L23" s="127"/>
      <c r="M23" s="127">
        <v>1741667.2579999934</v>
      </c>
      <c r="N23" s="127"/>
      <c r="O23" s="127"/>
      <c r="P23" s="127">
        <v>1571683.8589999997</v>
      </c>
      <c r="Q23" s="127"/>
      <c r="R23" s="52">
        <f>SUM(E23:P23)</f>
        <v>9003764.6179999858</v>
      </c>
      <c r="S23" s="14"/>
      <c r="W23" s="19"/>
      <c r="X23" s="25"/>
      <c r="Y23" s="25"/>
      <c r="Z23" s="25"/>
      <c r="AG23"/>
      <c r="AH23"/>
      <c r="AI23"/>
      <c r="AJ23"/>
      <c r="AK23"/>
      <c r="AL23"/>
      <c r="AM23"/>
      <c r="AN23"/>
    </row>
    <row r="24" spans="2:40" s="16" customFormat="1" ht="17.25" customHeight="1" x14ac:dyDescent="0.25">
      <c r="B24" s="53" t="s">
        <v>23</v>
      </c>
      <c r="C24" s="54">
        <f>C14/C23</f>
        <v>1.060291464875293</v>
      </c>
      <c r="D24" s="54"/>
      <c r="E24" s="54">
        <f t="shared" ref="E24:P24" si="7">E14/E23</f>
        <v>1.0152900149593518</v>
      </c>
      <c r="F24" s="126">
        <f t="shared" si="7"/>
        <v>1.0483725517050206</v>
      </c>
      <c r="G24" s="126"/>
      <c r="H24" s="126">
        <f t="shared" si="7"/>
        <v>0.92559039938667809</v>
      </c>
      <c r="I24" s="126"/>
      <c r="J24" s="126">
        <f t="shared" ref="J24" si="8">J14/J23</f>
        <v>0.80904911231400489</v>
      </c>
      <c r="K24" s="126"/>
      <c r="L24" s="126"/>
      <c r="M24" s="126">
        <f t="shared" ref="M24" si="9">M14/M23</f>
        <v>0.71005826877639244</v>
      </c>
      <c r="N24" s="126"/>
      <c r="O24" s="126"/>
      <c r="P24" s="126">
        <f t="shared" si="7"/>
        <v>0.62651357991709189</v>
      </c>
      <c r="Q24" s="126"/>
      <c r="R24" s="55">
        <f>R14/R23</f>
        <v>0.84091341557992094</v>
      </c>
      <c r="S24" s="14"/>
      <c r="W24" s="19"/>
      <c r="X24" s="25"/>
      <c r="Y24" s="25"/>
      <c r="Z24" s="25"/>
      <c r="AG24"/>
      <c r="AH24"/>
      <c r="AI24"/>
      <c r="AJ24"/>
      <c r="AK24"/>
      <c r="AL24"/>
      <c r="AM24"/>
      <c r="AN24"/>
    </row>
    <row r="25" spans="2:40" s="16" customFormat="1" ht="17.25" customHeight="1" x14ac:dyDescent="0.25">
      <c r="B25" s="56"/>
      <c r="C25" s="57"/>
      <c r="D25" s="58"/>
      <c r="E25" s="58"/>
      <c r="F25" s="58"/>
      <c r="G25" s="58"/>
      <c r="H25" s="58"/>
      <c r="I25" s="58"/>
      <c r="J25" s="59"/>
      <c r="K25" s="59"/>
      <c r="L25" s="59"/>
      <c r="M25" s="57"/>
      <c r="N25" s="14"/>
      <c r="R25" s="25"/>
      <c r="S25" s="25"/>
      <c r="T25" s="25"/>
      <c r="AA25"/>
      <c r="AB25"/>
      <c r="AC25"/>
      <c r="AD25"/>
      <c r="AE25"/>
      <c r="AF25"/>
      <c r="AG25"/>
      <c r="AH25"/>
    </row>
    <row r="26" spans="2:40" s="63" customFormat="1" ht="21" customHeight="1" x14ac:dyDescent="0.25">
      <c r="B26" s="60" t="s">
        <v>24</v>
      </c>
      <c r="C26" s="61"/>
      <c r="D26" s="62"/>
      <c r="E26" s="62"/>
      <c r="F26" s="62"/>
      <c r="G26" s="62"/>
      <c r="K26" s="60" t="s">
        <v>25</v>
      </c>
      <c r="L26" s="60"/>
      <c r="M26" s="60"/>
      <c r="N26" s="64"/>
      <c r="O26" s="62"/>
      <c r="P26" s="61"/>
      <c r="Q26" s="65"/>
      <c r="AB26" s="66"/>
      <c r="AC26" s="66"/>
      <c r="AD26" s="66"/>
      <c r="AE26" s="66"/>
      <c r="AF26" s="66"/>
      <c r="AG26" s="66"/>
      <c r="AH26" s="66"/>
      <c r="AI26" s="66"/>
    </row>
    <row r="27" spans="2:40" s="16" customFormat="1" ht="17.100000000000001" customHeight="1" x14ac:dyDescent="0.25">
      <c r="B27" s="14"/>
      <c r="C27" s="67"/>
      <c r="D27" s="32"/>
      <c r="E27" s="32"/>
      <c r="F27" s="32"/>
      <c r="G27" s="32"/>
      <c r="K27" s="128" t="s">
        <v>26</v>
      </c>
      <c r="L27" s="129"/>
      <c r="M27" s="129"/>
      <c r="N27" s="70"/>
      <c r="O27" s="69" t="s">
        <v>27</v>
      </c>
      <c r="P27" s="71" t="s">
        <v>28</v>
      </c>
      <c r="AB27"/>
      <c r="AC27"/>
      <c r="AD27"/>
      <c r="AE27"/>
      <c r="AF27"/>
      <c r="AG27"/>
      <c r="AH27"/>
      <c r="AI27"/>
    </row>
    <row r="28" spans="2:40" s="10" customFormat="1" ht="17.100000000000001" customHeight="1" x14ac:dyDescent="0.25">
      <c r="B28" s="25"/>
      <c r="C28" s="25"/>
      <c r="D28" s="72"/>
      <c r="E28" s="72"/>
      <c r="F28" s="72"/>
      <c r="G28" s="72"/>
      <c r="K28" s="130" t="s">
        <v>29</v>
      </c>
      <c r="L28" s="131"/>
      <c r="M28" s="131"/>
      <c r="N28" s="73"/>
      <c r="O28" s="73">
        <v>6216357.3480000161</v>
      </c>
      <c r="P28" s="74">
        <f>O28/$O$31</f>
        <v>0.82103289569002846</v>
      </c>
      <c r="AB28"/>
      <c r="AC28"/>
      <c r="AD28"/>
      <c r="AE28"/>
      <c r="AF28"/>
      <c r="AG28"/>
      <c r="AH28"/>
      <c r="AI28"/>
    </row>
    <row r="29" spans="2:40" ht="17.100000000000001" customHeight="1" x14ac:dyDescent="0.25">
      <c r="B29" s="75"/>
      <c r="C29" s="12"/>
      <c r="D29" s="12"/>
      <c r="E29" s="12"/>
      <c r="F29" s="12"/>
      <c r="G29" s="12"/>
      <c r="K29" s="132" t="s">
        <v>30</v>
      </c>
      <c r="L29" s="133"/>
      <c r="M29" s="133"/>
      <c r="N29" s="76"/>
      <c r="O29" s="76">
        <v>924892.0899999945</v>
      </c>
      <c r="P29" s="46">
        <f>O29/$O$31</f>
        <v>0.12215623850804015</v>
      </c>
      <c r="AB29"/>
      <c r="AC29"/>
      <c r="AD29"/>
      <c r="AE29"/>
      <c r="AF29"/>
      <c r="AG29"/>
      <c r="AH29"/>
      <c r="AI29"/>
    </row>
    <row r="30" spans="2:40" ht="17.100000000000001" customHeight="1" x14ac:dyDescent="0.25">
      <c r="B30" s="75"/>
      <c r="C30" s="12"/>
      <c r="D30" s="12"/>
      <c r="E30" s="12"/>
      <c r="F30" s="12"/>
      <c r="G30" s="12"/>
      <c r="K30" s="130" t="s">
        <v>31</v>
      </c>
      <c r="L30" s="131"/>
      <c r="M30" s="131"/>
      <c r="N30" s="73"/>
      <c r="O30" s="73">
        <v>430137.02</v>
      </c>
      <c r="P30" s="74">
        <f>O30/$O$31</f>
        <v>5.6810865801931495E-2</v>
      </c>
      <c r="AB30"/>
      <c r="AC30"/>
      <c r="AD30"/>
      <c r="AE30"/>
      <c r="AF30"/>
      <c r="AG30"/>
      <c r="AH30"/>
      <c r="AI30"/>
    </row>
    <row r="31" spans="2:40" ht="17.100000000000001" customHeight="1" x14ac:dyDescent="0.25">
      <c r="B31" s="75"/>
      <c r="C31" s="12"/>
      <c r="D31" s="12"/>
      <c r="E31" s="12"/>
      <c r="F31" s="12"/>
      <c r="G31" s="12"/>
      <c r="K31" s="134" t="s">
        <v>32</v>
      </c>
      <c r="L31" s="135"/>
      <c r="M31" s="135"/>
      <c r="N31" s="77"/>
      <c r="O31" s="77">
        <f>SUM(O28:O30)</f>
        <v>7571386.4580000099</v>
      </c>
      <c r="P31" s="78">
        <f>SUM(P28:P30)</f>
        <v>1</v>
      </c>
      <c r="AB31"/>
      <c r="AC31"/>
      <c r="AD31"/>
      <c r="AE31"/>
      <c r="AF31"/>
      <c r="AG31"/>
      <c r="AH31"/>
      <c r="AI31"/>
    </row>
    <row r="32" spans="2:40" ht="19.5" customHeight="1" x14ac:dyDescent="0.25">
      <c r="B32" s="75"/>
      <c r="C32" s="12"/>
      <c r="D32" s="12"/>
      <c r="E32" s="12"/>
      <c r="F32" s="12"/>
      <c r="G32" s="12"/>
      <c r="K32" s="12"/>
      <c r="L32" s="12"/>
      <c r="M32" s="79"/>
      <c r="N32" s="12"/>
      <c r="O32" s="12"/>
    </row>
    <row r="33" spans="1:19" ht="17.100000000000001" customHeight="1" x14ac:dyDescent="0.25">
      <c r="B33" s="12"/>
      <c r="C33" s="12"/>
      <c r="D33" s="12"/>
      <c r="E33" s="12"/>
      <c r="F33" s="12"/>
      <c r="G33" s="12"/>
      <c r="K33" s="68" t="s">
        <v>29</v>
      </c>
      <c r="L33" s="70"/>
      <c r="M33" s="70"/>
      <c r="N33" s="70"/>
      <c r="O33" s="69" t="s">
        <v>27</v>
      </c>
      <c r="P33" s="69" t="s">
        <v>33</v>
      </c>
      <c r="Q33" s="71" t="s">
        <v>28</v>
      </c>
      <c r="R33"/>
    </row>
    <row r="34" spans="1:19" ht="17.100000000000001" customHeight="1" x14ac:dyDescent="0.25">
      <c r="B34" s="12"/>
      <c r="C34" s="12"/>
      <c r="D34" s="12"/>
      <c r="E34" s="12"/>
      <c r="F34" s="12"/>
      <c r="G34" s="12"/>
      <c r="K34" s="80" t="s">
        <v>34</v>
      </c>
      <c r="L34" s="73"/>
      <c r="M34" s="73"/>
      <c r="N34" s="73"/>
      <c r="O34" s="73">
        <v>3794227</v>
      </c>
      <c r="P34" s="81">
        <v>4017</v>
      </c>
      <c r="Q34" s="82">
        <v>0.61</v>
      </c>
      <c r="R34"/>
    </row>
    <row r="35" spans="1:19" ht="17.100000000000001" customHeight="1" x14ac:dyDescent="0.25">
      <c r="B35" s="12"/>
      <c r="C35" s="12"/>
      <c r="D35" s="12"/>
      <c r="E35" s="12"/>
      <c r="F35" s="12"/>
      <c r="G35" s="12"/>
      <c r="K35" s="83" t="s">
        <v>35</v>
      </c>
      <c r="L35" s="76"/>
      <c r="M35" s="76"/>
      <c r="N35" s="76"/>
      <c r="O35" s="76">
        <v>2107718</v>
      </c>
      <c r="P35" s="41">
        <v>4178</v>
      </c>
      <c r="Q35" s="84">
        <v>0.34</v>
      </c>
      <c r="R35"/>
    </row>
    <row r="36" spans="1:19" ht="17.100000000000001" customHeight="1" x14ac:dyDescent="0.25">
      <c r="A36" s="85"/>
      <c r="B36" s="12"/>
      <c r="C36" s="12"/>
      <c r="D36" s="12"/>
      <c r="E36" s="12"/>
      <c r="F36" s="12"/>
      <c r="G36" s="12"/>
      <c r="K36" s="80" t="s">
        <v>36</v>
      </c>
      <c r="L36" s="73"/>
      <c r="M36" s="73"/>
      <c r="N36" s="73"/>
      <c r="O36" s="73">
        <v>165514</v>
      </c>
      <c r="P36" s="81">
        <v>389</v>
      </c>
      <c r="Q36" s="82">
        <v>2.7E-2</v>
      </c>
      <c r="R36"/>
    </row>
    <row r="37" spans="1:19" ht="17.100000000000001" customHeight="1" x14ac:dyDescent="0.25">
      <c r="A37" s="86"/>
      <c r="B37" s="12"/>
      <c r="C37" s="12"/>
      <c r="D37" s="12"/>
      <c r="E37" s="12"/>
      <c r="F37" s="12"/>
      <c r="G37" s="12"/>
      <c r="K37" s="83" t="s">
        <v>37</v>
      </c>
      <c r="L37" s="76"/>
      <c r="M37" s="76"/>
      <c r="N37" s="76"/>
      <c r="O37" s="76">
        <v>148898</v>
      </c>
      <c r="P37" s="41">
        <v>2623</v>
      </c>
      <c r="Q37" s="84">
        <v>2.7E-2</v>
      </c>
      <c r="R37"/>
    </row>
    <row r="38" spans="1:19" ht="17.100000000000001" customHeight="1" x14ac:dyDescent="0.25">
      <c r="B38" s="87"/>
      <c r="C38" s="87"/>
      <c r="D38" s="87"/>
      <c r="E38" s="87"/>
      <c r="F38" s="87"/>
      <c r="G38" s="87"/>
      <c r="K38" s="88" t="s">
        <v>32</v>
      </c>
      <c r="L38" s="77"/>
      <c r="M38" s="77"/>
      <c r="N38" s="77"/>
      <c r="O38" s="77">
        <f>SUM(O34:O37)</f>
        <v>6216357</v>
      </c>
      <c r="P38" s="89">
        <f>SUM(P34:P37)</f>
        <v>11207</v>
      </c>
      <c r="Q38" s="98">
        <f>SUM(Q34:Q37)</f>
        <v>1.004</v>
      </c>
      <c r="R38"/>
    </row>
    <row r="39" spans="1:19" s="85" customFormat="1" ht="19.5" customHeight="1" x14ac:dyDescent="0.25">
      <c r="A39" s="1"/>
      <c r="B39"/>
      <c r="C39"/>
      <c r="D39"/>
      <c r="E39"/>
      <c r="F39"/>
      <c r="G39" s="87"/>
      <c r="H39" s="87"/>
      <c r="I39" s="87"/>
      <c r="J39" s="87"/>
      <c r="K39" s="87"/>
      <c r="M39"/>
      <c r="N39"/>
      <c r="O39"/>
    </row>
    <row r="40" spans="1:19" s="86" customFormat="1" ht="19.5" customHeight="1" x14ac:dyDescent="0.25">
      <c r="A40" s="1"/>
      <c r="B40" s="9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9" ht="16.5" customHeight="1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9" ht="16.5" customHeight="1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9" ht="16.5" customHeight="1" x14ac:dyDescent="0.25">
      <c r="A43" s="91"/>
      <c r="B43"/>
      <c r="C43"/>
      <c r="D43"/>
      <c r="E43"/>
      <c r="F43"/>
      <c r="G43"/>
      <c r="H43"/>
      <c r="I43"/>
      <c r="J43"/>
      <c r="K43"/>
      <c r="L43"/>
    </row>
    <row r="44" spans="1:19" ht="16.5" customHeight="1" x14ac:dyDescent="0.25">
      <c r="B44"/>
      <c r="C44"/>
      <c r="D44"/>
      <c r="E44"/>
      <c r="F44"/>
      <c r="G44"/>
      <c r="H44"/>
      <c r="I44"/>
      <c r="J44"/>
      <c r="K44"/>
      <c r="L44" s="92"/>
    </row>
    <row r="45" spans="1:19" ht="3" customHeight="1" x14ac:dyDescent="0.25">
      <c r="A45" s="86"/>
      <c r="B45"/>
      <c r="C45"/>
      <c r="D45"/>
      <c r="E45"/>
      <c r="F45"/>
      <c r="G45"/>
      <c r="H45"/>
      <c r="I45"/>
      <c r="J45"/>
      <c r="K45"/>
      <c r="L45" s="93"/>
      <c r="M45" s="91"/>
      <c r="N45" s="91"/>
      <c r="O45" s="91"/>
    </row>
    <row r="46" spans="1:19" s="91" customFormat="1" ht="15" x14ac:dyDescent="0.25">
      <c r="A46" s="1"/>
      <c r="B46"/>
      <c r="C46"/>
      <c r="D46"/>
      <c r="E46"/>
      <c r="F46"/>
      <c r="G46"/>
      <c r="H46"/>
      <c r="I46"/>
      <c r="J46"/>
      <c r="K46"/>
      <c r="L46" s="92"/>
      <c r="M46" s="1"/>
      <c r="N46" s="1"/>
      <c r="O46" s="1"/>
      <c r="S46" s="94"/>
    </row>
    <row r="47" spans="1:19" ht="15" x14ac:dyDescent="0.25">
      <c r="A47" s="95"/>
      <c r="F47" s="96"/>
      <c r="G47"/>
      <c r="H47"/>
      <c r="I47"/>
      <c r="J47"/>
      <c r="K47"/>
      <c r="M47" s="86"/>
      <c r="N47" s="86"/>
      <c r="O47" s="86"/>
      <c r="S47" s="94"/>
    </row>
    <row r="48" spans="1:19" s="86" customFormat="1" ht="15" x14ac:dyDescent="0.25">
      <c r="A48" s="95"/>
      <c r="B48"/>
      <c r="C48"/>
      <c r="D48"/>
      <c r="F48" s="97"/>
      <c r="G48" s="96"/>
      <c r="H48" s="1"/>
      <c r="I48" s="1"/>
      <c r="J48" s="1"/>
      <c r="K48" s="1"/>
      <c r="M48" s="1"/>
      <c r="N48" s="1"/>
      <c r="O48" s="1"/>
      <c r="R48" s="94"/>
      <c r="S48" s="95"/>
    </row>
    <row r="49" spans="1:19" ht="15" x14ac:dyDescent="0.25">
      <c r="B49"/>
      <c r="C49"/>
      <c r="D49"/>
      <c r="G49" s="97"/>
      <c r="H49" s="86"/>
      <c r="I49" s="86"/>
      <c r="J49" s="86"/>
      <c r="K49" s="86"/>
      <c r="M49"/>
      <c r="N49"/>
      <c r="O49"/>
      <c r="P49"/>
      <c r="R49" s="16"/>
    </row>
    <row r="50" spans="1:19" s="95" customFormat="1" ht="15" x14ac:dyDescent="0.25">
      <c r="A50" s="1"/>
      <c r="B50"/>
      <c r="C50"/>
      <c r="D50"/>
      <c r="G50" s="1"/>
      <c r="H50" s="1"/>
      <c r="I50" s="1"/>
      <c r="J50" s="1"/>
      <c r="K50" s="1"/>
      <c r="M50"/>
      <c r="N50"/>
      <c r="O50"/>
      <c r="P50"/>
      <c r="R50" s="16"/>
      <c r="S50" s="1"/>
    </row>
    <row r="51" spans="1:19" s="95" customFormat="1" ht="19.5" customHeight="1" x14ac:dyDescent="0.25">
      <c r="B51"/>
      <c r="C51"/>
      <c r="D51"/>
      <c r="M51"/>
      <c r="N51"/>
      <c r="O51"/>
      <c r="P51"/>
    </row>
    <row r="52" spans="1:19" ht="19.5" customHeight="1" x14ac:dyDescent="0.25">
      <c r="A52" s="95"/>
      <c r="B52"/>
      <c r="C52"/>
      <c r="D52"/>
      <c r="G52" s="95"/>
      <c r="H52" s="95"/>
      <c r="I52" s="95"/>
      <c r="J52" s="95"/>
      <c r="K52" s="95"/>
      <c r="M52"/>
      <c r="N52"/>
      <c r="O52"/>
      <c r="P52"/>
    </row>
    <row r="53" spans="1:19" ht="19.5" customHeight="1" x14ac:dyDescent="0.25">
      <c r="B53"/>
      <c r="C53"/>
      <c r="D53"/>
      <c r="M53"/>
      <c r="N53"/>
      <c r="O53"/>
      <c r="P53"/>
    </row>
    <row r="54" spans="1:19" s="95" customFormat="1" ht="19.5" customHeight="1" x14ac:dyDescent="0.25">
      <c r="A54" s="1"/>
      <c r="B54"/>
      <c r="C54"/>
      <c r="D54"/>
      <c r="G54" s="1"/>
      <c r="H54" s="1"/>
      <c r="I54" s="1"/>
      <c r="J54" s="1"/>
      <c r="K54" s="1"/>
      <c r="M54"/>
      <c r="N54"/>
      <c r="O54"/>
      <c r="P54"/>
    </row>
    <row r="55" spans="1:19" s="95" customFormat="1" ht="12" customHeight="1" x14ac:dyDescent="0.25">
      <c r="A55" s="1"/>
    </row>
    <row r="56" spans="1:19" ht="19.5" customHeight="1" x14ac:dyDescent="0.25">
      <c r="G56" s="95"/>
      <c r="H56" s="95"/>
      <c r="I56" s="95"/>
      <c r="J56" s="95"/>
      <c r="K56" s="95"/>
    </row>
    <row r="78" customFormat="1" ht="19.5" customHeight="1" x14ac:dyDescent="0.25"/>
    <row r="79" customFormat="1" ht="19.5" customHeight="1" x14ac:dyDescent="0.25"/>
    <row r="80" customFormat="1" ht="19.5" customHeight="1" x14ac:dyDescent="0.25"/>
    <row r="81" customFormat="1" ht="19.5" customHeight="1" x14ac:dyDescent="0.25"/>
    <row r="82" customFormat="1" ht="19.5" customHeight="1" x14ac:dyDescent="0.25"/>
    <row r="83" customFormat="1" ht="19.5" customHeight="1" x14ac:dyDescent="0.25"/>
    <row r="84" customFormat="1" ht="19.5" customHeight="1" x14ac:dyDescent="0.25"/>
    <row r="85" customFormat="1" ht="19.5" customHeight="1" x14ac:dyDescent="0.25"/>
    <row r="86" customFormat="1" ht="19.5" customHeight="1" x14ac:dyDescent="0.25"/>
    <row r="87" customFormat="1" ht="19.5" customHeight="1" x14ac:dyDescent="0.25"/>
    <row r="88" customFormat="1" ht="19.5" customHeight="1" x14ac:dyDescent="0.25"/>
    <row r="89" customFormat="1" ht="19.5" customHeight="1" x14ac:dyDescent="0.25"/>
    <row r="507" spans="8:8" ht="19.5" customHeight="1" x14ac:dyDescent="0.25">
      <c r="H507" s="1">
        <v>9635913102973</v>
      </c>
    </row>
  </sheetData>
  <mergeCells count="70">
    <mergeCell ref="K27:M27"/>
    <mergeCell ref="K28:M28"/>
    <mergeCell ref="K29:M29"/>
    <mergeCell ref="K30:M30"/>
    <mergeCell ref="K31:M31"/>
    <mergeCell ref="F23:G23"/>
    <mergeCell ref="H23:I23"/>
    <mergeCell ref="J23:L23"/>
    <mergeCell ref="M23:O23"/>
    <mergeCell ref="P23:Q23"/>
    <mergeCell ref="F24:G24"/>
    <mergeCell ref="H24:I24"/>
    <mergeCell ref="J24:L24"/>
    <mergeCell ref="M24:O24"/>
    <mergeCell ref="P24:Q24"/>
    <mergeCell ref="F20:G20"/>
    <mergeCell ref="H20:I20"/>
    <mergeCell ref="J20:L20"/>
    <mergeCell ref="M20:O20"/>
    <mergeCell ref="P20:Q20"/>
    <mergeCell ref="F21:G21"/>
    <mergeCell ref="H21:I21"/>
    <mergeCell ref="J21:L21"/>
    <mergeCell ref="M21:O21"/>
    <mergeCell ref="P21:Q21"/>
    <mergeCell ref="F17:G17"/>
    <mergeCell ref="H17:I17"/>
    <mergeCell ref="J17:L17"/>
    <mergeCell ref="M17:O17"/>
    <mergeCell ref="P17:Q17"/>
    <mergeCell ref="F19:G19"/>
    <mergeCell ref="H19:I19"/>
    <mergeCell ref="J19:L19"/>
    <mergeCell ref="M19:O19"/>
    <mergeCell ref="P19:Q19"/>
    <mergeCell ref="F15:G15"/>
    <mergeCell ref="H15:I15"/>
    <mergeCell ref="J15:L15"/>
    <mergeCell ref="M15:O15"/>
    <mergeCell ref="P15:Q15"/>
    <mergeCell ref="F16:G16"/>
    <mergeCell ref="H16:I16"/>
    <mergeCell ref="J16:L16"/>
    <mergeCell ref="M16:O16"/>
    <mergeCell ref="P16:Q16"/>
    <mergeCell ref="F13:G13"/>
    <mergeCell ref="H13:I13"/>
    <mergeCell ref="J13:L13"/>
    <mergeCell ref="M13:O13"/>
    <mergeCell ref="P13:Q13"/>
    <mergeCell ref="F14:G14"/>
    <mergeCell ref="H14:I14"/>
    <mergeCell ref="J14:L14"/>
    <mergeCell ref="M14:O14"/>
    <mergeCell ref="P14:Q14"/>
    <mergeCell ref="P12:Q12"/>
    <mergeCell ref="Q3:R3"/>
    <mergeCell ref="B7:C7"/>
    <mergeCell ref="E7:F7"/>
    <mergeCell ref="H7:L7"/>
    <mergeCell ref="N7:Q7"/>
    <mergeCell ref="B8:C8"/>
    <mergeCell ref="E8:F8"/>
    <mergeCell ref="H8:L8"/>
    <mergeCell ref="N8:Q8"/>
    <mergeCell ref="C12:D12"/>
    <mergeCell ref="F12:G12"/>
    <mergeCell ref="H12:I12"/>
    <mergeCell ref="J12:L12"/>
    <mergeCell ref="M12:O12"/>
  </mergeCells>
  <printOptions horizontalCentered="1"/>
  <pageMargins left="0.25" right="0.25" top="0.75" bottom="0.75" header="0.3" footer="0.3"/>
  <pageSetup paperSize="9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F-Cost</vt:lpstr>
      <vt:lpstr>'F-Cost'!Print_Area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Safari</dc:creator>
  <cp:lastModifiedBy>Ari Safari</cp:lastModifiedBy>
  <cp:lastPrinted>2026-05-17T08:02:43Z</cp:lastPrinted>
  <dcterms:created xsi:type="dcterms:W3CDTF">2026-05-15T23:28:53Z</dcterms:created>
  <dcterms:modified xsi:type="dcterms:W3CDTF">2026-05-17T08:03:47Z</dcterms:modified>
</cp:coreProperties>
</file>